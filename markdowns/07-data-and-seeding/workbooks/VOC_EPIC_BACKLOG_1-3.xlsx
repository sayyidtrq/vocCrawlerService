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yyi\Documents\project\hermina_crawler\markdowns\integrations\"/>
    </mc:Choice>
  </mc:AlternateContent>
  <xr:revisionPtr revIDLastSave="0" documentId="13_ncr:1_{354D6759-56CA-46E2-AC45-BBD95254A59F}" xr6:coauthVersionLast="47" xr6:coauthVersionMax="47" xr10:uidLastSave="{00000000-0000-0000-0000-000000000000}"/>
  <bookViews>
    <workbookView xWindow="1812" yWindow="1812" windowWidth="17280" windowHeight="10500" xr2:uid="{00000000-000D-0000-FFFF-FFFF00000000}"/>
  </bookViews>
  <sheets>
    <sheet name="Ringkasan" sheetId="1" r:id="rId1"/>
    <sheet name="Epic 1 - Master Data" sheetId="2" r:id="rId2"/>
    <sheet name="Epic 2 - Ingest Ticketing" sheetId="3" r:id="rId3"/>
    <sheet name="Epic 3 - Scheduling" sheetId="4" r:id="rId4"/>
    <sheet name="Gates &amp; Prasyara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I7" i="1"/>
  <c r="H7" i="1"/>
  <c r="G7" i="1"/>
  <c r="E7" i="1"/>
  <c r="D7" i="1"/>
  <c r="J6" i="1"/>
  <c r="I6" i="1"/>
  <c r="H6" i="1"/>
  <c r="G6" i="1"/>
  <c r="E6" i="1"/>
  <c r="D6" i="1"/>
  <c r="J5" i="1"/>
  <c r="J8" i="1" s="1"/>
  <c r="I5" i="1"/>
  <c r="I8" i="1" s="1"/>
  <c r="H5" i="1"/>
  <c r="H8" i="1" s="1"/>
  <c r="G5" i="1"/>
  <c r="G8" i="1" s="1"/>
  <c r="E5" i="1"/>
  <c r="E8" i="1" s="1"/>
  <c r="D5" i="1"/>
  <c r="D8" i="1" s="1"/>
</calcChain>
</file>

<file path=xl/sharedStrings.xml><?xml version="1.0" encoding="utf-8"?>
<sst xmlns="http://schemas.openxmlformats.org/spreadsheetml/2006/main" count="362" uniqueCount="229">
  <si>
    <t>VoC x OneBox -- Epic Backlog (Epic 1-3)</t>
  </si>
  <si>
    <t>Sumber kanonis task: VOC_DEV_TASKLIST.md. Setiap Story Epic 1-3 di-cross-reference ke Task ID (M#-##) untuk traceability. Update status di sheet Task ID -&gt; update di sini otomatis (formula).</t>
  </si>
  <si>
    <t>Epic</t>
  </si>
  <si>
    <t>Prioritas</t>
  </si>
  <si>
    <t>Nilai Bisnis (ringkas)</t>
  </si>
  <si>
    <t>Jumlah Item</t>
  </si>
  <si>
    <t>Total MD (estimasi)</t>
  </si>
  <si>
    <t>Definition of Done</t>
  </si>
  <si>
    <t>Done</t>
  </si>
  <si>
    <t>WIP</t>
  </si>
  <si>
    <t>Todo</t>
  </si>
  <si>
    <t>Blocked</t>
  </si>
  <si>
    <t>EPIC 1 -- Master Data &amp; Config/Setup</t>
  </si>
  <si>
    <t>Admin tenant bisa mengatur apa yang dipantau (lokasi, kompetitor) tanpa bantuan developer; konfigurasi otomatis tersalur ke Crawler.</t>
  </si>
  <si>
    <t>Tambah/ubah/nonaktifkan lokasi &amp; kompetitor di OneBox -&gt; otomatis muncul/hilang di worklist Crawler, tanpa langkah manual di sisi Crawler.</t>
  </si>
  <si>
    <t>EPIC 2 -- Ingest &amp; Ticketing</t>
  </si>
  <si>
    <t>Review yang tercrawl otomatis masuk sebagai Ticket yang bisa ditindaklanjuti, tanpa duplikat, tanpa request yang nge-hang.</t>
  </si>
  <si>
    <t>Satu siklus penuh terbukti di Dev: trigger crawl balas &lt;1 detik; window harian menarik hanya review baru; re-sync tidak pernah bikin Ticket dobel; lokasi baru yang sudah punya histori di VoC ter-backfill penuh.</t>
  </si>
  <si>
    <t>EPIC 3 -- Scheduling &amp; Reliability</t>
  </si>
  <si>
    <t>Data segar tersedia sebelum jam kerja tanpa user menunggu; kegagalan terlihat sebelum user yang melapor.</t>
  </si>
  <si>
    <t>Satu site = tepat 3 occurrence/hari; restart tidak mengubah planned_at; dua trigger bersamaan -&gt; hanya satu run; kegagalan terdeteksi via alarm sebelum user melapor.</t>
  </si>
  <si>
    <t>TOTAL</t>
  </si>
  <si>
    <t>Jalur kritis (lintas 3 epic):</t>
  </si>
  <si>
    <t>M1-05 (Epic 1) -&gt; M2-02 (Epic 2) -&gt; M3-01 (Epic 2) -&gt; M4-03 (Epic 3). Item lain di luar rantai ini bisa dikerjakan paralel.</t>
  </si>
  <si>
    <t>Catatan penting sebelum sprint mulai:</t>
  </si>
  <si>
    <t>1. Tasklist kanonis (24 Jul) menandai seluruh M2 = todo, tapi VOC_CRAWL_PROOF_RUNBOOK.md (lebih baru, ~5 hari setelahnya) menyebut sebagian besar M2 [verified-local] di branch codex/key-process-x1-x5, belum di-merge/dibuktikan di Dev. SINKRONKAN status ini dengan tim VC/Codex sebelum sprint planning final -- jangan asumsikan salah satu dokumen 100% benar.</t>
  </si>
  <si>
    <t>2. Prioritaskan M1-08 (quick-fix Connection dev 1039) di hari pertama -- estimasi 0.1 MD, menghilangkan potensi salah baca hasil proof E1/E2.</t>
  </si>
  <si>
    <t>3. X1 (crawl Google real di lingkungan Dev) adalah risiko tertinggi proyek -- uji paling awal sebelum lanjut ke E3 (scheduling), sesuai VOC_CRAWL_PROOF_RUNBOOK.md.</t>
  </si>
  <si>
    <t>4. Semua ADR (0001-0004) dan tasklist ini BELUM diratifikasi Pak Agung -- lihat sheet 'Gates &amp; Prasyarat' baris P7/M0-05.</t>
  </si>
  <si>
    <t>EPIC 1 — Master Data &amp; Config/Setup</t>
  </si>
  <si>
    <t>Nilai bisnis: Admin tenant bisa mengatur apa yang dipantau (lokasi, kompetitor) tanpa bantuan developer; konfigurasi otomatis tersalur ke Crawler.</t>
  </si>
  <si>
    <t>Definition of Done Epic: Tambah/ubah/nonaktifkan lokasi &amp; kompetitor di OneBox -&gt; otomatis muncul/hilang di worklist Crawler, tanpa langkah manual di sisi Crawler.</t>
  </si>
  <si>
    <t>Story ID</t>
  </si>
  <si>
    <t>User Story</t>
  </si>
  <si>
    <t>Acceptance Criteria</t>
  </si>
  <si>
    <t>Task ID</t>
  </si>
  <si>
    <t>Owner</t>
  </si>
  <si>
    <t>Prasyarat</t>
  </si>
  <si>
    <t>MD</t>
  </si>
  <si>
    <t>Status</t>
  </si>
  <si>
    <t>Catatan</t>
  </si>
  <si>
    <t>E1-S1</t>
  </si>
  <si>
    <t>Sebagai admin tenant, saya ingin menambah/mengubah/menonaktifkan cabang (lokasi) yang dipantau, supaya saya bisa mengatur cakupan pemantauan tanpa bantuan developer.</t>
  </si>
  <si>
    <t>Form simpan berfungsi; toggle aktif/nonaktif; hapus hanya jika belum ada review; Place ID tidak boleh duplikat.</t>
  </si>
  <si>
    <t>M1-01</t>
  </si>
  <si>
    <t>OB</t>
  </si>
  <si>
    <t>-</t>
  </si>
  <si>
    <t>E1-S2</t>
  </si>
  <si>
    <t>Sebagai admin tenant, saya ingin mendaftarkan kompetitor yang ingin dipantau, supaya saya bisa membandingkan performa cabang dengan kompetitor.</t>
  </si>
  <si>
    <t>Pola sama seperti lokasi; StatusId=CNS3 agar tidak tersapu penjadwal.</t>
  </si>
  <si>
    <t>M1-02</t>
  </si>
  <si>
    <t>E1-S3</t>
  </si>
  <si>
    <t>Sebagai sistem, begitu lokasi/kompetitor disimpan di OneBox, target itu harus otomatis tersedia untuk ditarik Crawler, supaya tidak ada sinkronisasi ganda dua sistem.</t>
  </si>
  <si>
    <t>GET /api/VocWorklist ter-scope sid dari JWT.</t>
  </si>
  <si>
    <t>M1-03</t>
  </si>
  <si>
    <t>P3</t>
  </si>
  <si>
    <t>[verified]</t>
  </si>
  <si>
    <t>E1-S4</t>
  </si>
  <si>
    <t>Sebagai developer, saya ingin jalur simpan Lokasi/Kompetitor tidak lagi memanggil push sinkron lama, supaya arsitektur konsisten dengan pola pull (ADR-0003).</t>
  </si>
  <si>
    <t>Simpan Lokasi/Kompetitor sukses tanpa panggilan sinkron keluar.</t>
  </si>
  <si>
    <t>M1-04</t>
  </si>
  <si>
    <t>Koreksi dari draf sebelumnya (bukan soal retensi data hapus lokasi).</t>
  </si>
  <si>
    <t>E1-S5</t>
  </si>
  <si>
    <t>Sebagai Crawler, saya ingin menarik worklist dari OneBox dan menyimpannya ke cache lokal, supaya crawl tahu target tanpa OneBox mendorong data.</t>
  </si>
  <si>
    <t>Sync menghasilkan status=synced, target masuk cache lokasi.</t>
  </si>
  <si>
    <t>M1-05</t>
  </si>
  <si>
    <t>VC</t>
  </si>
  <si>
    <t>M1-03, P5</t>
  </si>
  <si>
    <t>Proof runbook (lebih baru) menyebut [verified-dev] sebagian -- konfirmasi status penuh ke Codex/VC.</t>
  </si>
  <si>
    <t>E1-S6</t>
  </si>
  <si>
    <t>Sebagai developer, saya ingin jembatan transisi (push sinkron di tombol resync &amp; toggle) dihapus setelah E1-S5 terbukti stabil, supaya tidak ada dual-write yang membingungkan.</t>
  </si>
  <si>
    <t>Tombol resync/toggle di OneBox tidak lagi memanggil endpoint push lama.</t>
  </si>
  <si>
    <t>M1-06</t>
  </si>
  <si>
    <t>M1-05 terbukti</t>
  </si>
  <si>
    <t>E1-S7</t>
  </si>
  <si>
    <t>Sebagai sistem, endpoint tulis Location/Competitor lama di Crawler harus menjadi read-only bagi manusia, supaya OneBox benar-benar satu-satunya tempat edit.</t>
  </si>
  <si>
    <t>Endpoint lama menolak write manual, hanya menerima dari sinkronisasi internal.</t>
  </si>
  <si>
    <t>M1-07</t>
  </si>
  <si>
    <t>BUG</t>
  </si>
  <si>
    <t>(Bukan story) Connection dev 1039 (Hermina Depok) StatusId salah, ikut tersapu penjadwal.</t>
  </si>
  <si>
    <t>StatusId diperbaiki menjadi CNS2.</t>
  </si>
  <si>
    <t>M1-08</t>
  </si>
  <si>
    <t>OPS</t>
  </si>
  <si>
    <t>[verified] -- QUICK FIX, kerjakan paling duluan di sprint ini.</t>
  </si>
  <si>
    <t>EPIC 2 — Ingest &amp; Ticketing</t>
  </si>
  <si>
    <t>Nilai bisnis: Review yang tercrawl otomatis masuk sebagai Ticket yang bisa ditindaklanjuti, tanpa duplikat, tanpa request yang nge-hang.</t>
  </si>
  <si>
    <t>Definition of Done Epic: Satu siklus penuh terbukti di Dev: trigger crawl balas &lt;1 detik; window harian menarik hanya review baru; re-sync tidak pernah bikin Ticket dobel; lokasi baru yang sudah punya histori di VoC ter-backfill penuh.</t>
  </si>
  <si>
    <t>E2-S1</t>
  </si>
  <si>
    <t>Sebagai sistem, saya ingin ada tabel antrean crawl job (pending/claimed/done/failed) dengan attempts &amp; next_retry_at, supaya crawl bisa diproses asinkron dan dilacak statusnya.</t>
  </si>
  <si>
    <t>Tabel tersedia dengan kolom status, attempts, next_retry_at, locked_by.</t>
  </si>
  <si>
    <t>M2-01</t>
  </si>
  <si>
    <t>Belum ada di dokumen draf sebelumnya -- ditambahkan sekarang.</t>
  </si>
  <si>
    <t>E2-S2</t>
  </si>
  <si>
    <t>Sebagai sistem, saya ingin worker yang mengambil job dari antrean secara atomik (SELECT FOR UPDATE SKIP LOCKED), supaya tidak ada dua worker mengerjakan job yang sama.</t>
  </si>
  <si>
    <t>Klaim job atomik; tidak ada job diproses dobel.</t>
  </si>
  <si>
    <t>M2-02</t>
  </si>
  <si>
    <t>Bagian dari jalur kritis (M1-05 -&gt; M2-02 -&gt; M3-01 -&gt; M4-03).</t>
  </si>
  <si>
    <t>E2-S3</t>
  </si>
  <si>
    <t>Sebagai OneBox, saya ingin memicu crawl satu target secara non-blocking, supaya permintaan tidak menunggu Selenium selesai.</t>
  </si>
  <si>
    <t>POST /api/integration/v1/crawl-jobs balas 202+batch_id dalam &lt;1 detik.</t>
  </si>
  <si>
    <t>M2-03</t>
  </si>
  <si>
    <t>Tasklist (24 Jul) = todo, TAPI proof runbook (lebih baru) menyebut [verified-local] di branch codex/key-process-x1-x5 -- BELUM di-merge/dibuktikan di Dev. Sinkronkan status dgn tim VC.</t>
  </si>
  <si>
    <t>E2-S4</t>
  </si>
  <si>
    <t>Sebagai sistem, job yang gagal harus di-retry sesuai jenis error (429 backoff, 404 tidak diulang, timeout diulang singkat), supaya crawl tangguh terhadap gangguan sementara.</t>
  </si>
  <si>
    <t>Retry differentiated per kelas error + jitter.</t>
  </si>
  <si>
    <t>M2-04</t>
  </si>
  <si>
    <t>Proof runbook menyebut [verified-local] -- konfirmasi.</t>
  </si>
  <si>
    <t>E2-S5</t>
  </si>
  <si>
    <t>Sebagai sistem, crawl antar-target harus diberi jeda dan tidak serempak dalam satu window, supaya tidak memicu blokir dari Google.</t>
  </si>
  <si>
    <t>Rate limit per target + stagger terbukti di log.</t>
  </si>
  <si>
    <t>M2-05</t>
  </si>
  <si>
    <t>E2-S6</t>
  </si>
  <si>
    <t>Sebagai sistem, saya ingin job baru ditolak saat CPU/RAM di atas ambang batas, supaya server tidak kolaps saat antrean penuh.</t>
  </si>
  <si>
    <t>Backpressure aktif; job baru ditolak/ditunda saat resource tinggi.</t>
  </si>
  <si>
    <t>M2-06</t>
  </si>
  <si>
    <t>E2-S7</t>
  </si>
  <si>
    <t>Sebagai ops, saya ingin melihat status batch crawl (queued/succeeded/failed) beserta hasil per lokasi, supaya saya tahu progres tanpa membaca log mentah.</t>
  </si>
  <si>
    <t>GET /api/integration/v1/crawl-jobs/{batch_id} mengembalikan status detail.</t>
  </si>
  <si>
    <t>M2-07</t>
  </si>
  <si>
    <t>E2-S8</t>
  </si>
  <si>
    <t>Sebagai sistem, saya ingin crawl berhenti otomatis begitu menyentuh review yang sudah dimiliki (bukan tarik ulang semua), supaya window harian selesai dalam hitungan detik.</t>
  </si>
  <si>
    <t>Cursor per target, scrape terbaru-dulu, stop saat ketemu yang sudah ada.</t>
  </si>
  <si>
    <t>M3-01</t>
  </si>
  <si>
    <t>Bagian dari jalur kritis.</t>
  </si>
  <si>
    <t>E2-S9</t>
  </si>
  <si>
    <t>Sebagai sistem, saya ingin kunci idempotency review yang stabil (ID Google atau hash author+tanggal+teks), supaya review yang sama tidak pernah tersimpan dua kali.</t>
  </si>
  <si>
    <t>Kunci idempotency ditetapkan &amp; didokumentasikan.</t>
  </si>
  <si>
    <t>M3-02</t>
  </si>
  <si>
    <t>[assumption] -- pendekatan hash perlu diverifikasi, belum final.</t>
  </si>
  <si>
    <t>E2-S10</t>
  </si>
  <si>
    <t>Sebagai OneBox, saya ingin menarik review baru secara delta memakai checkpoint_cursor, supaya sinkronisasi harian cepat dan tidak mengulang semua data.</t>
  </si>
  <si>
    <t>checkpoint_cursor disimpan HANYA setelah seluruh halaman sukses di-ingest.</t>
  </si>
  <si>
    <t>M3-03</t>
  </si>
  <si>
    <t>E2-S11</t>
  </si>
  <si>
    <t>Sebagai OneBox, saat lokasi baru ditambahkan yang sudah punya histori review lama di Crawler, saya ingin backfill penuh dulu sebelum masuk aliran delta, supaya tidak ada review lama yang terlewat.</t>
  </si>
  <si>
    <t>Backfill ?location_id&amp;updated_since=&lt;jauh&gt; dijalankan sebelum digabung ke delta.</t>
  </si>
  <si>
    <t>M3-04</t>
  </si>
  <si>
    <t>Jebakan teridentifikasi -- JANGAN skip, checkpoint yang sudah maju akan melewatkan review lama lokasi baru.</t>
  </si>
  <si>
    <t>E2-S12</t>
  </si>
  <si>
    <t>Sebagai OneBox, saya ingin lokasi lama yang sudah sempat di-crawl VoC tapi belum punya Ticket direkonsiliasi, supaya tidak ada data yang hilang di tengah jalan (kasus Bekasi).</t>
  </si>
  <si>
    <t>Review historis kasus Bekasi berhasil ter-backfill jadi Ticket.</t>
  </si>
  <si>
    <t>M3-05</t>
  </si>
  <si>
    <t>E2-S13</t>
  </si>
  <si>
    <t>Sebagai OneBox, saya ingin data review kompetitor tersedia untuk ditarik, supaya bisa dipakai perbandingan/insight.</t>
  </si>
  <si>
    <t>Endpoint competitor_reviews tersedia di Crawler.</t>
  </si>
  <si>
    <t>M3-06</t>
  </si>
  <si>
    <t>[verified] API GAP -- endpoint belum ada sama sekali di Crawler. Handoff ke tim VC/Codex, jangan ditambal di OneBox.</t>
  </si>
  <si>
    <t>E2-S14</t>
  </si>
  <si>
    <t>Sebagai manajemen, saya ingin melihat review kompetitor di OneBox (tanpa menjadi Ticket), supaya bisa dibandingkan dengan performa sendiri.</t>
  </si>
  <si>
    <t>Review kompetitor tampil terpisah dari alur Ticket.</t>
  </si>
  <si>
    <t>M3-07</t>
  </si>
  <si>
    <t>Menunggu E2-S13 (M3-06) selesai.</t>
  </si>
  <si>
    <t>EPIC 3 — Scheduling &amp; Reliability</t>
  </si>
  <si>
    <t>Nilai bisnis: Data segar tersedia sebelum jam kerja tanpa user menunggu; kegagalan terlihat sebelum user yang melapor.</t>
  </si>
  <si>
    <t>Definition of Done Epic: Satu site = tepat 3 occurrence/hari; restart tidak mengubah planned_at; dua trigger bersamaan -&gt; hanya satu run; kegagalan terdeteksi via alarm sebelum user melapor.</t>
  </si>
  <si>
    <t>E3-S1</t>
  </si>
  <si>
    <t>Sebagai sistem, saya ingin tabel jadwal occurrence yang unik per site+tanggal+slot, supaya tidak ada dua jadwal bentrok untuk slot yang sama.</t>
  </si>
  <si>
    <t>Tabel unique constraint (site_id, local_date, slot).</t>
  </si>
  <si>
    <t>M4-01</t>
  </si>
  <si>
    <t>E3-S2</t>
  </si>
  <si>
    <t>Sebagai sistem, saya ingin waktu jalan (planned_at) diacak dalam rentang tiap slot (pagi 05-07, siang 11-13, malam 21-23) sesuai timezone site, supaya beban crawl tidak menumpuk di detik yang sama.</t>
  </si>
  <si>
    <t>planned_at ter-persist per slot; tidak berubah saat restart.</t>
  </si>
  <si>
    <t>M4-02</t>
  </si>
  <si>
    <t>E3-S3</t>
  </si>
  <si>
    <t>Sebagai OneBox, saya ingin trigger fetch berubah dari sinkron (menunggu) menjadi 'kick' non-blocking ke antrean crawl lalu delta pull, supaya scheduler tidak menahan proses lain.</t>
  </si>
  <si>
    <t>Trigger otomatis memanggil M2-03 lalu M3-03 tanpa blocking.</t>
  </si>
  <si>
    <t>M4-03</t>
  </si>
  <si>
    <t>M2-03, M3-03</t>
  </si>
  <si>
    <t>UJUNG dari jalur kritis (M1-05 -&gt; M2-02 -&gt; M3-01 -&gt; M4-03). Owner scheduler tunggal = OneBox, jangan bikin scheduler kedua di VoC.</t>
  </si>
  <si>
    <t>E3-S4</t>
  </si>
  <si>
    <t>Sebagai sistem, saya ingin dua trigger yang bersamaan untuk site+slot yang sama hanya menghasilkan satu run, supaya tidak ada crawl dobel.</t>
  </si>
  <si>
    <t>Lock no-overlap + idempotency key site:date:slot terbukti.</t>
  </si>
  <si>
    <t>M4-04</t>
  </si>
  <si>
    <t>E3-S5</t>
  </si>
  <si>
    <t>Sebagai ops, saya ingin melihat histori run (planned/actual/status/counters) dan bisa memicu 'Run now', supaya saya bisa memantau &amp; mengintervensi jadwal.</t>
  </si>
  <si>
    <t>UI histori run + tombol Run now berfungsi.</t>
  </si>
  <si>
    <t>M4-05</t>
  </si>
  <si>
    <t>E3-S6</t>
  </si>
  <si>
    <t>Sebagai ops, saya ingin tiap run menghasilkan ringkasan (fetched/inserted/deduped/failed), supaya saya tahu hasilnya tanpa membaca log mentah.</t>
  </si>
  <si>
    <t>Error handling + ringkasan run tersimpan/tertampil.</t>
  </si>
  <si>
    <t>M5-01</t>
  </si>
  <si>
    <t>E3-S7</t>
  </si>
  <si>
    <t>Sebagai sistem, saya ingin mencatat kesegaran tiap target (last_crawled_at, last_success_at, consecutive_failures), supaya bisa dideteksi target yang bermasalah.</t>
  </si>
  <si>
    <t>Kolom freshness terisi &amp; ter-update tiap siklus crawl.</t>
  </si>
  <si>
    <t>M5-02</t>
  </si>
  <si>
    <t>E3-S8</t>
  </si>
  <si>
    <t>Sebagai admin tenant, saya ingin melihat badge 'Terakhir di-crawl HH:MM' pada tiap lokasi, supaya saya tahu kesegaran datanya tanpa buka log.</t>
  </si>
  <si>
    <t>Badge menggantikan status provisioning lama di UI.</t>
  </si>
  <si>
    <t>M5-03</t>
  </si>
  <si>
    <t>E3-S9</t>
  </si>
  <si>
    <t>Sebagai ops, saya ingin mendapat alarm saat target bolos window, antrean menumpuk, atau error-rate di atas 10%, supaya saya tahu ada masalah sebelum user melapor.</t>
  </si>
  <si>
    <t>Alarm terpicu pada 3 kondisi tsb.</t>
  </si>
  <si>
    <t>M5-04</t>
  </si>
  <si>
    <t>E3-S10</t>
  </si>
  <si>
    <t>Sebagai security/compliance, saya ingin log tidak pernah memuat token, cursor utuh, atau teks review penuh, supaya tidak ada kebocoran data sensitif lewat log.</t>
  </si>
  <si>
    <t>Audit log tidak menemukan data sensitif.</t>
  </si>
  <si>
    <t>M5-05</t>
  </si>
  <si>
    <t>OB+VC</t>
  </si>
  <si>
    <t>Gate &amp; Prasyarat Lintas-Epic (bukan Epic -- syarat wajib, bukan kebutuhan pengguna)</t>
  </si>
  <si>
    <t>M0 (fondasi teknis) tidak diperlakukan sebagai Epic karena tidak ada 'user story' natural untuk ratifikasi ADR / perbaikan bug internal -- ini prasyarat kerja, bukan kebutuhan pengguna.</t>
  </si>
  <si>
    <t>ID</t>
  </si>
  <si>
    <t>Deskripsi</t>
  </si>
  <si>
    <t>Relevansi Epic</t>
  </si>
  <si>
    <t>P1</t>
  </si>
  <si>
    <t>Docker + stack dev_DNGO19-3346 hidup; Traefik publish :80/:443</t>
  </si>
  <si>
    <t>Semua epic</t>
  </si>
  <si>
    <t>P2</t>
  </si>
  <si>
    <t>Base URL OneBox dev = https://localhost/feature/DNGO19-3346</t>
  </si>
  <si>
    <t>Akun login OneBox dev valid (voc.dev@onebox.local, siteId 169)</t>
  </si>
  <si>
    <t>[verified] -- test@gmail.com TIDAK valid</t>
  </si>
  <si>
    <t>P4</t>
  </si>
  <si>
    <t>VoC API hidup + service token untuk OneBox</t>
  </si>
  <si>
    <t>[verified] -- spesifikasi di /api/openapi.json</t>
  </si>
  <si>
    <t>P5</t>
  </si>
  <si>
    <t>Jaringan VoC &lt;-&gt; OneBox terbuka DUA ARAH (bukan cuma OneBox-&gt;VoC)</t>
  </si>
  <si>
    <t>[assumption] -- prasyarat mutlak E1-S5 (M1-05)</t>
  </si>
  <si>
    <t>Epic 1</t>
  </si>
  <si>
    <t>P6 / M0-06</t>
  </si>
  <si>
    <t>Seeding DB dev seragam antar developer</t>
  </si>
  <si>
    <t>Dieskalasi ke senior dev -- jangan diutak-atik dulu</t>
  </si>
  <si>
    <t>Prasyarat M6 (di luar Epic 1-3)</t>
  </si>
  <si>
    <t>P7 / M0-05</t>
  </si>
  <si>
    <t>Ratifikasi ADR-0001/0002/0003 ke Pak Agung (satu paket)</t>
  </si>
  <si>
    <t>Teknis boleh jalan pakai default; ratifikasi mengunci keputusan</t>
  </si>
  <si>
    <t>Semua epic (governance)</t>
  </si>
  <si>
    <t>M0-07</t>
  </si>
  <si>
    <t>Perbaiki getUserAllRole (SQL IN() error saat user tanpa role)</t>
  </si>
  <si>
    <t>Butuh izin senior dev</t>
  </si>
  <si>
    <t>Prasyarat M8-07 (Epic 6, di luar Epic 1-3)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</si>
</sst>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2937"/>
      <name val="Arial"/>
    </font>
    <font>
      <i/>
      <sz val="9"/>
      <color rgb="FF6B728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6"/>
      <color rgb="FF1F2937"/>
      <name val="Arial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E5E7EB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5" fillId="0" borderId="1" xfId="0" applyFont="1" applyBorder="1"/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/>
    <xf numFmtId="0" fontId="0" fillId="0" borderId="1" xfId="0" applyBorder="1"/>
    <xf numFmtId="0" fontId="5" fillId="0" borderId="0" xfId="0" applyFont="1"/>
    <xf numFmtId="0" fontId="5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6" fillId="0" borderId="0" xfId="0" applyFont="1"/>
    <xf numFmtId="0" fontId="0" fillId="0" borderId="0" xfId="0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937"/>
  </sheetPr>
  <dimension ref="A1:J17"/>
  <sheetViews>
    <sheetView tabSelected="1"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34" customWidth="1"/>
    <col min="2" max="2" width="9" customWidth="1"/>
    <col min="3" max="3" width="40" customWidth="1"/>
    <col min="4" max="4" width="12" customWidth="1"/>
    <col min="5" max="5" width="14" customWidth="1"/>
    <col min="6" max="6" width="40" customWidth="1"/>
    <col min="7" max="10" width="8" customWidth="1"/>
  </cols>
  <sheetData>
    <row r="1" spans="1:10" ht="21" x14ac:dyDescent="0.4">
      <c r="A1" s="12" t="s">
        <v>0</v>
      </c>
      <c r="B1" s="13"/>
      <c r="C1" s="13"/>
      <c r="D1" s="13"/>
      <c r="E1" s="13"/>
      <c r="F1" s="13"/>
    </row>
    <row r="2" spans="1:10" ht="28.05" customHeight="1" x14ac:dyDescent="0.3">
      <c r="A2" s="14" t="s">
        <v>1</v>
      </c>
      <c r="B2" s="13"/>
      <c r="C2" s="13"/>
      <c r="D2" s="13"/>
      <c r="E2" s="13"/>
      <c r="F2" s="13"/>
    </row>
    <row r="4" spans="1:10" ht="24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42" customHeight="1" x14ac:dyDescent="0.3">
      <c r="A5" s="2" t="s">
        <v>12</v>
      </c>
      <c r="B5" s="3">
        <v>1</v>
      </c>
      <c r="C5" s="4" t="s">
        <v>13</v>
      </c>
      <c r="D5" s="5">
        <f>COUNTA('Epic 1 - Master Data'!$D$6:$D$13)</f>
        <v>8</v>
      </c>
      <c r="E5" s="5">
        <f>SUM('Epic 1 - Master Data'!$G$6:$G$13)</f>
        <v>13.1</v>
      </c>
      <c r="F5" s="4" t="s">
        <v>14</v>
      </c>
      <c r="G5" s="3">
        <f>COUNTIF('Epic 1 - Master Data'!$H$6:$H$13,"Done")</f>
        <v>4</v>
      </c>
      <c r="H5" s="3">
        <f>COUNTIF('Epic 1 - Master Data'!$H$6:$H$13,"WIP")</f>
        <v>1</v>
      </c>
      <c r="I5" s="3">
        <f>COUNTIF('Epic 1 - Master Data'!$H$6:$H$13,"Todo")</f>
        <v>3</v>
      </c>
      <c r="J5" s="3">
        <f>COUNTIF('Epic 1 - Master Data'!$H$6:$H$13,"Blocked")</f>
        <v>0</v>
      </c>
    </row>
    <row r="6" spans="1:10" ht="42" customHeight="1" x14ac:dyDescent="0.3">
      <c r="A6" s="2" t="s">
        <v>15</v>
      </c>
      <c r="B6" s="3">
        <v>2</v>
      </c>
      <c r="C6" s="4" t="s">
        <v>16</v>
      </c>
      <c r="D6" s="5">
        <f>COUNTA('Epic 2 - Ingest Ticketing'!$D$6:$D$19)</f>
        <v>14</v>
      </c>
      <c r="E6" s="5">
        <f>SUM('Epic 2 - Ingest Ticketing'!$G$6:$G$19)</f>
        <v>26.5</v>
      </c>
      <c r="F6" s="4" t="s">
        <v>17</v>
      </c>
      <c r="G6" s="3">
        <f>COUNTIF('Epic 2 - Ingest Ticketing'!$H$6:$H$19,"Done")</f>
        <v>0</v>
      </c>
      <c r="H6" s="3">
        <f>COUNTIF('Epic 2 - Ingest Ticketing'!$H$6:$H$19,"WIP")</f>
        <v>0</v>
      </c>
      <c r="I6" s="3">
        <f>COUNTIF('Epic 2 - Ingest Ticketing'!$H$6:$H$19,"Todo")</f>
        <v>12</v>
      </c>
      <c r="J6" s="3">
        <f>COUNTIF('Epic 2 - Ingest Ticketing'!$H$6:$H$19,"Blocked")</f>
        <v>2</v>
      </c>
    </row>
    <row r="7" spans="1:10" ht="42" customHeight="1" x14ac:dyDescent="0.3">
      <c r="A7" s="2" t="s">
        <v>18</v>
      </c>
      <c r="B7" s="3">
        <v>3</v>
      </c>
      <c r="C7" s="4" t="s">
        <v>19</v>
      </c>
      <c r="D7" s="5">
        <f>COUNTA('Epic 3 - Scheduling'!$D$6:$D$15)</f>
        <v>10</v>
      </c>
      <c r="E7" s="5">
        <f>SUM('Epic 3 - Scheduling'!$G$6:$G$15)</f>
        <v>15</v>
      </c>
      <c r="F7" s="4" t="s">
        <v>20</v>
      </c>
      <c r="G7" s="3">
        <f>COUNTIF('Epic 3 - Scheduling'!$H$6:$H$15,"Done")</f>
        <v>0</v>
      </c>
      <c r="H7" s="3">
        <f>COUNTIF('Epic 3 - Scheduling'!$H$6:$H$15,"WIP")</f>
        <v>0</v>
      </c>
      <c r="I7" s="3">
        <f>COUNTIF('Epic 3 - Scheduling'!$H$6:$H$15,"Todo")</f>
        <v>10</v>
      </c>
      <c r="J7" s="3">
        <f>COUNTIF('Epic 3 - Scheduling'!$H$6:$H$15,"Blocked")</f>
        <v>0</v>
      </c>
    </row>
    <row r="8" spans="1:10" x14ac:dyDescent="0.3">
      <c r="A8" s="2" t="s">
        <v>21</v>
      </c>
      <c r="B8" s="6"/>
      <c r="C8" s="6"/>
      <c r="D8" s="2">
        <f>SUM(D5:D7)</f>
        <v>32</v>
      </c>
      <c r="E8" s="2">
        <f>SUM(E5:E7)</f>
        <v>54.6</v>
      </c>
      <c r="F8" s="6"/>
      <c r="G8" s="2">
        <f>SUM(G5:G7)</f>
        <v>4</v>
      </c>
      <c r="H8" s="2">
        <f>SUM(H5:H7)</f>
        <v>1</v>
      </c>
      <c r="I8" s="2">
        <f>SUM(I5:I7)</f>
        <v>25</v>
      </c>
      <c r="J8" s="2">
        <f>SUM(J5:J7)</f>
        <v>2</v>
      </c>
    </row>
    <row r="10" spans="1:10" x14ac:dyDescent="0.3">
      <c r="A10" s="7" t="s">
        <v>22</v>
      </c>
    </row>
    <row r="11" spans="1:10" ht="28.05" customHeight="1" x14ac:dyDescent="0.3">
      <c r="A11" s="15" t="s">
        <v>23</v>
      </c>
      <c r="B11" s="13"/>
      <c r="C11" s="13"/>
      <c r="D11" s="13"/>
      <c r="E11" s="13"/>
      <c r="F11" s="13"/>
    </row>
    <row r="13" spans="1:10" x14ac:dyDescent="0.3">
      <c r="A13" s="7" t="s">
        <v>24</v>
      </c>
    </row>
    <row r="14" spans="1:10" ht="28.05" customHeight="1" x14ac:dyDescent="0.3">
      <c r="A14" s="15" t="s">
        <v>25</v>
      </c>
      <c r="B14" s="13"/>
      <c r="C14" s="13"/>
      <c r="D14" s="13"/>
      <c r="E14" s="13"/>
      <c r="F14" s="13"/>
    </row>
    <row r="15" spans="1:10" ht="28.05" customHeight="1" x14ac:dyDescent="0.3">
      <c r="A15" s="15" t="s">
        <v>26</v>
      </c>
      <c r="B15" s="13"/>
      <c r="C15" s="13"/>
      <c r="D15" s="13"/>
      <c r="E15" s="13"/>
      <c r="F15" s="13"/>
    </row>
    <row r="16" spans="1:10" ht="28.05" customHeight="1" x14ac:dyDescent="0.3">
      <c r="A16" s="15" t="s">
        <v>27</v>
      </c>
      <c r="B16" s="13"/>
      <c r="C16" s="13"/>
      <c r="D16" s="13"/>
      <c r="E16" s="13"/>
      <c r="F16" s="13"/>
    </row>
    <row r="17" spans="1:6" ht="28.05" customHeight="1" x14ac:dyDescent="0.3">
      <c r="A17" s="15" t="s">
        <v>28</v>
      </c>
      <c r="B17" s="13"/>
      <c r="C17" s="13"/>
      <c r="D17" s="13"/>
      <c r="E17" s="13"/>
      <c r="F17" s="13"/>
    </row>
  </sheetData>
  <mergeCells count="7">
    <mergeCell ref="A16:F16"/>
    <mergeCell ref="A17:F17"/>
    <mergeCell ref="A1:F1"/>
    <mergeCell ref="A2:F2"/>
    <mergeCell ref="A11:F11"/>
    <mergeCell ref="A14:F14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6A34A"/>
  </sheetPr>
  <dimension ref="A1:I13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9" customWidth="1"/>
    <col min="2" max="2" width="46" customWidth="1"/>
    <col min="3" max="3" width="40" customWidth="1"/>
    <col min="4" max="5" width="9" customWidth="1"/>
    <col min="6" max="6" width="14" customWidth="1"/>
    <col min="7" max="7" width="7" customWidth="1"/>
    <col min="8" max="8" width="10" customWidth="1"/>
    <col min="9" max="9" width="42" customWidth="1"/>
  </cols>
  <sheetData>
    <row r="1" spans="1:9" ht="17.399999999999999" x14ac:dyDescent="0.3">
      <c r="A1" s="16" t="s">
        <v>29</v>
      </c>
      <c r="B1" s="13"/>
      <c r="C1" s="13"/>
      <c r="D1" s="13"/>
      <c r="E1" s="13"/>
      <c r="F1" s="13"/>
      <c r="G1" s="13"/>
      <c r="H1" s="13"/>
      <c r="I1" s="13"/>
    </row>
    <row r="2" spans="1:9" ht="30" customHeight="1" x14ac:dyDescent="0.3">
      <c r="A2" s="14" t="s">
        <v>30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4" t="s">
        <v>31</v>
      </c>
      <c r="B3" s="13"/>
      <c r="C3" s="13"/>
      <c r="D3" s="13"/>
      <c r="E3" s="13"/>
      <c r="F3" s="13"/>
      <c r="G3" s="13"/>
      <c r="H3" s="13"/>
      <c r="I3" s="13"/>
    </row>
    <row r="5" spans="1:9" ht="28.05" customHeight="1" x14ac:dyDescent="0.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</row>
    <row r="6" spans="1:9" ht="52.8" x14ac:dyDescent="0.3">
      <c r="A6" s="3" t="s">
        <v>41</v>
      </c>
      <c r="B6" s="4" t="s">
        <v>42</v>
      </c>
      <c r="C6" s="4" t="s">
        <v>43</v>
      </c>
      <c r="D6" s="3" t="s">
        <v>44</v>
      </c>
      <c r="E6" s="3" t="s">
        <v>45</v>
      </c>
      <c r="F6" s="3" t="s">
        <v>46</v>
      </c>
      <c r="G6" s="3">
        <v>3</v>
      </c>
      <c r="H6" s="8" t="s">
        <v>8</v>
      </c>
      <c r="I6" s="4"/>
    </row>
    <row r="7" spans="1:9" ht="39.6" x14ac:dyDescent="0.3">
      <c r="A7" s="3" t="s">
        <v>47</v>
      </c>
      <c r="B7" s="4" t="s">
        <v>48</v>
      </c>
      <c r="C7" s="4" t="s">
        <v>49</v>
      </c>
      <c r="D7" s="3" t="s">
        <v>50</v>
      </c>
      <c r="E7" s="3" t="s">
        <v>45</v>
      </c>
      <c r="F7" s="3" t="s">
        <v>44</v>
      </c>
      <c r="G7" s="3">
        <v>3</v>
      </c>
      <c r="H7" s="8" t="s">
        <v>8</v>
      </c>
      <c r="I7" s="4"/>
    </row>
    <row r="8" spans="1:9" ht="52.8" x14ac:dyDescent="0.3">
      <c r="A8" s="3" t="s">
        <v>51</v>
      </c>
      <c r="B8" s="4" t="s">
        <v>52</v>
      </c>
      <c r="C8" s="4" t="s">
        <v>53</v>
      </c>
      <c r="D8" s="3" t="s">
        <v>54</v>
      </c>
      <c r="E8" s="3" t="s">
        <v>45</v>
      </c>
      <c r="F8" s="3" t="s">
        <v>55</v>
      </c>
      <c r="G8" s="3">
        <v>1</v>
      </c>
      <c r="H8" s="8" t="s">
        <v>8</v>
      </c>
      <c r="I8" s="4" t="s">
        <v>56</v>
      </c>
    </row>
    <row r="9" spans="1:9" ht="52.8" x14ac:dyDescent="0.3">
      <c r="A9" s="3" t="s">
        <v>57</v>
      </c>
      <c r="B9" s="4" t="s">
        <v>58</v>
      </c>
      <c r="C9" s="4" t="s">
        <v>59</v>
      </c>
      <c r="D9" s="3" t="s">
        <v>60</v>
      </c>
      <c r="E9" s="3" t="s">
        <v>45</v>
      </c>
      <c r="F9" s="3" t="s">
        <v>54</v>
      </c>
      <c r="G9" s="3">
        <v>0.5</v>
      </c>
      <c r="H9" s="8" t="s">
        <v>8</v>
      </c>
      <c r="I9" s="4" t="s">
        <v>61</v>
      </c>
    </row>
    <row r="10" spans="1:9" ht="39.6" x14ac:dyDescent="0.3">
      <c r="A10" s="3" t="s">
        <v>62</v>
      </c>
      <c r="B10" s="4" t="s">
        <v>63</v>
      </c>
      <c r="C10" s="4" t="s">
        <v>64</v>
      </c>
      <c r="D10" s="3" t="s">
        <v>65</v>
      </c>
      <c r="E10" s="3" t="s">
        <v>66</v>
      </c>
      <c r="F10" s="3" t="s">
        <v>67</v>
      </c>
      <c r="G10" s="3">
        <v>4</v>
      </c>
      <c r="H10" s="9" t="s">
        <v>9</v>
      </c>
      <c r="I10" s="4" t="s">
        <v>68</v>
      </c>
    </row>
    <row r="11" spans="1:9" ht="52.8" x14ac:dyDescent="0.3">
      <c r="A11" s="3" t="s">
        <v>69</v>
      </c>
      <c r="B11" s="4" t="s">
        <v>70</v>
      </c>
      <c r="C11" s="4" t="s">
        <v>71</v>
      </c>
      <c r="D11" s="3" t="s">
        <v>72</v>
      </c>
      <c r="E11" s="3" t="s">
        <v>45</v>
      </c>
      <c r="F11" s="3" t="s">
        <v>73</v>
      </c>
      <c r="G11" s="3">
        <v>0.5</v>
      </c>
      <c r="H11" s="10" t="s">
        <v>10</v>
      </c>
      <c r="I11" s="4"/>
    </row>
    <row r="12" spans="1:9" ht="52.8" x14ac:dyDescent="0.3">
      <c r="A12" s="3" t="s">
        <v>74</v>
      </c>
      <c r="B12" s="4" t="s">
        <v>75</v>
      </c>
      <c r="C12" s="4" t="s">
        <v>76</v>
      </c>
      <c r="D12" s="3" t="s">
        <v>77</v>
      </c>
      <c r="E12" s="3" t="s">
        <v>66</v>
      </c>
      <c r="F12" s="3" t="s">
        <v>65</v>
      </c>
      <c r="G12" s="3">
        <v>1</v>
      </c>
      <c r="H12" s="10" t="s">
        <v>10</v>
      </c>
      <c r="I12" s="4"/>
    </row>
    <row r="13" spans="1:9" ht="26.4" x14ac:dyDescent="0.3">
      <c r="A13" s="3" t="s">
        <v>78</v>
      </c>
      <c r="B13" s="4" t="s">
        <v>79</v>
      </c>
      <c r="C13" s="4" t="s">
        <v>80</v>
      </c>
      <c r="D13" s="3" t="s">
        <v>81</v>
      </c>
      <c r="E13" s="3" t="s">
        <v>82</v>
      </c>
      <c r="F13" s="3" t="s">
        <v>46</v>
      </c>
      <c r="G13" s="3">
        <v>0.1</v>
      </c>
      <c r="H13" s="10" t="s">
        <v>10</v>
      </c>
      <c r="I13" s="4" t="s">
        <v>83</v>
      </c>
    </row>
  </sheetData>
  <mergeCells count="3">
    <mergeCell ref="A1:I1"/>
    <mergeCell ref="A2:I2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7706"/>
  </sheetPr>
  <dimension ref="A1:I19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9" customWidth="1"/>
    <col min="2" max="2" width="46" customWidth="1"/>
    <col min="3" max="3" width="40" customWidth="1"/>
    <col min="4" max="5" width="9" customWidth="1"/>
    <col min="6" max="6" width="14" customWidth="1"/>
    <col min="7" max="7" width="7" customWidth="1"/>
    <col min="8" max="8" width="10" customWidth="1"/>
    <col min="9" max="9" width="42" customWidth="1"/>
  </cols>
  <sheetData>
    <row r="1" spans="1:9" ht="17.399999999999999" x14ac:dyDescent="0.3">
      <c r="A1" s="16" t="s">
        <v>84</v>
      </c>
      <c r="B1" s="13"/>
      <c r="C1" s="13"/>
      <c r="D1" s="13"/>
      <c r="E1" s="13"/>
      <c r="F1" s="13"/>
      <c r="G1" s="13"/>
      <c r="H1" s="13"/>
      <c r="I1" s="13"/>
    </row>
    <row r="2" spans="1:9" ht="30" customHeight="1" x14ac:dyDescent="0.3">
      <c r="A2" s="14" t="s">
        <v>85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4" t="s">
        <v>86</v>
      </c>
      <c r="B3" s="13"/>
      <c r="C3" s="13"/>
      <c r="D3" s="13"/>
      <c r="E3" s="13"/>
      <c r="F3" s="13"/>
      <c r="G3" s="13"/>
      <c r="H3" s="13"/>
      <c r="I3" s="13"/>
    </row>
    <row r="5" spans="1:9" ht="28.05" customHeight="1" x14ac:dyDescent="0.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</row>
    <row r="6" spans="1:9" ht="52.8" x14ac:dyDescent="0.3">
      <c r="A6" s="3" t="s">
        <v>87</v>
      </c>
      <c r="B6" s="4" t="s">
        <v>88</v>
      </c>
      <c r="C6" s="4" t="s">
        <v>89</v>
      </c>
      <c r="D6" s="3" t="s">
        <v>90</v>
      </c>
      <c r="E6" s="3" t="s">
        <v>66</v>
      </c>
      <c r="F6" s="3" t="s">
        <v>65</v>
      </c>
      <c r="G6" s="3">
        <v>2</v>
      </c>
      <c r="H6" s="10" t="s">
        <v>10</v>
      </c>
      <c r="I6" s="4" t="s">
        <v>91</v>
      </c>
    </row>
    <row r="7" spans="1:9" ht="52.8" x14ac:dyDescent="0.3">
      <c r="A7" s="3" t="s">
        <v>92</v>
      </c>
      <c r="B7" s="4" t="s">
        <v>93</v>
      </c>
      <c r="C7" s="4" t="s">
        <v>94</v>
      </c>
      <c r="D7" s="3" t="s">
        <v>95</v>
      </c>
      <c r="E7" s="3" t="s">
        <v>66</v>
      </c>
      <c r="F7" s="3" t="s">
        <v>90</v>
      </c>
      <c r="G7" s="3">
        <v>3</v>
      </c>
      <c r="H7" s="10" t="s">
        <v>10</v>
      </c>
      <c r="I7" s="4" t="s">
        <v>96</v>
      </c>
    </row>
    <row r="8" spans="1:9" ht="66" x14ac:dyDescent="0.3">
      <c r="A8" s="3" t="s">
        <v>97</v>
      </c>
      <c r="B8" s="4" t="s">
        <v>98</v>
      </c>
      <c r="C8" s="4" t="s">
        <v>99</v>
      </c>
      <c r="D8" s="3" t="s">
        <v>100</v>
      </c>
      <c r="E8" s="3" t="s">
        <v>66</v>
      </c>
      <c r="F8" s="3" t="s">
        <v>90</v>
      </c>
      <c r="G8" s="3">
        <v>2</v>
      </c>
      <c r="H8" s="10" t="s">
        <v>10</v>
      </c>
      <c r="I8" s="4" t="s">
        <v>101</v>
      </c>
    </row>
    <row r="9" spans="1:9" ht="52.8" x14ac:dyDescent="0.3">
      <c r="A9" s="3" t="s">
        <v>102</v>
      </c>
      <c r="B9" s="4" t="s">
        <v>103</v>
      </c>
      <c r="C9" s="4" t="s">
        <v>104</v>
      </c>
      <c r="D9" s="3" t="s">
        <v>105</v>
      </c>
      <c r="E9" s="3" t="s">
        <v>66</v>
      </c>
      <c r="F9" s="3" t="s">
        <v>95</v>
      </c>
      <c r="G9" s="3">
        <v>2</v>
      </c>
      <c r="H9" s="10" t="s">
        <v>10</v>
      </c>
      <c r="I9" s="4" t="s">
        <v>106</v>
      </c>
    </row>
    <row r="10" spans="1:9" ht="39.6" x14ac:dyDescent="0.3">
      <c r="A10" s="3" t="s">
        <v>107</v>
      </c>
      <c r="B10" s="4" t="s">
        <v>108</v>
      </c>
      <c r="C10" s="4" t="s">
        <v>109</v>
      </c>
      <c r="D10" s="3" t="s">
        <v>110</v>
      </c>
      <c r="E10" s="3" t="s">
        <v>66</v>
      </c>
      <c r="F10" s="3" t="s">
        <v>95</v>
      </c>
      <c r="G10" s="3">
        <v>1.5</v>
      </c>
      <c r="H10" s="10" t="s">
        <v>10</v>
      </c>
      <c r="I10" s="4" t="s">
        <v>106</v>
      </c>
    </row>
    <row r="11" spans="1:9" ht="39.6" x14ac:dyDescent="0.3">
      <c r="A11" s="3" t="s">
        <v>111</v>
      </c>
      <c r="B11" s="4" t="s">
        <v>112</v>
      </c>
      <c r="C11" s="4" t="s">
        <v>113</v>
      </c>
      <c r="D11" s="3" t="s">
        <v>114</v>
      </c>
      <c r="E11" s="3" t="s">
        <v>66</v>
      </c>
      <c r="F11" s="3" t="s">
        <v>95</v>
      </c>
      <c r="G11" s="3">
        <v>1</v>
      </c>
      <c r="H11" s="10" t="s">
        <v>10</v>
      </c>
      <c r="I11" s="4" t="s">
        <v>91</v>
      </c>
    </row>
    <row r="12" spans="1:9" ht="52.8" x14ac:dyDescent="0.3">
      <c r="A12" s="3" t="s">
        <v>115</v>
      </c>
      <c r="B12" s="4" t="s">
        <v>116</v>
      </c>
      <c r="C12" s="4" t="s">
        <v>117</v>
      </c>
      <c r="D12" s="3" t="s">
        <v>118</v>
      </c>
      <c r="E12" s="3" t="s">
        <v>66</v>
      </c>
      <c r="F12" s="3" t="s">
        <v>100</v>
      </c>
      <c r="G12" s="3">
        <v>1</v>
      </c>
      <c r="H12" s="10" t="s">
        <v>10</v>
      </c>
      <c r="I12" s="4" t="s">
        <v>106</v>
      </c>
    </row>
    <row r="13" spans="1:9" ht="52.8" x14ac:dyDescent="0.3">
      <c r="A13" s="3" t="s">
        <v>119</v>
      </c>
      <c r="B13" s="4" t="s">
        <v>120</v>
      </c>
      <c r="C13" s="4" t="s">
        <v>121</v>
      </c>
      <c r="D13" s="3" t="s">
        <v>122</v>
      </c>
      <c r="E13" s="3" t="s">
        <v>66</v>
      </c>
      <c r="F13" s="3" t="s">
        <v>95</v>
      </c>
      <c r="G13" s="3">
        <v>3</v>
      </c>
      <c r="H13" s="10" t="s">
        <v>10</v>
      </c>
      <c r="I13" s="4" t="s">
        <v>123</v>
      </c>
    </row>
    <row r="14" spans="1:9" ht="52.8" x14ac:dyDescent="0.3">
      <c r="A14" s="3" t="s">
        <v>124</v>
      </c>
      <c r="B14" s="4" t="s">
        <v>125</v>
      </c>
      <c r="C14" s="4" t="s">
        <v>126</v>
      </c>
      <c r="D14" s="3" t="s">
        <v>127</v>
      </c>
      <c r="E14" s="3" t="s">
        <v>66</v>
      </c>
      <c r="F14" s="3" t="s">
        <v>46</v>
      </c>
      <c r="G14" s="3">
        <v>1</v>
      </c>
      <c r="H14" s="10" t="s">
        <v>10</v>
      </c>
      <c r="I14" s="4" t="s">
        <v>128</v>
      </c>
    </row>
    <row r="15" spans="1:9" ht="52.8" x14ac:dyDescent="0.3">
      <c r="A15" s="3" t="s">
        <v>129</v>
      </c>
      <c r="B15" s="4" t="s">
        <v>130</v>
      </c>
      <c r="C15" s="4" t="s">
        <v>131</v>
      </c>
      <c r="D15" s="3" t="s">
        <v>132</v>
      </c>
      <c r="E15" s="3" t="s">
        <v>45</v>
      </c>
      <c r="F15" s="3" t="s">
        <v>122</v>
      </c>
      <c r="G15" s="3">
        <v>2</v>
      </c>
      <c r="H15" s="10" t="s">
        <v>10</v>
      </c>
      <c r="I15" s="4"/>
    </row>
    <row r="16" spans="1:9" ht="52.8" x14ac:dyDescent="0.3">
      <c r="A16" s="3" t="s">
        <v>133</v>
      </c>
      <c r="B16" s="4" t="s">
        <v>134</v>
      </c>
      <c r="C16" s="4" t="s">
        <v>135</v>
      </c>
      <c r="D16" s="3" t="s">
        <v>136</v>
      </c>
      <c r="E16" s="3" t="s">
        <v>45</v>
      </c>
      <c r="F16" s="3" t="s">
        <v>132</v>
      </c>
      <c r="G16" s="3">
        <v>2</v>
      </c>
      <c r="H16" s="10" t="s">
        <v>10</v>
      </c>
      <c r="I16" s="4" t="s">
        <v>137</v>
      </c>
    </row>
    <row r="17" spans="1:9" ht="52.8" x14ac:dyDescent="0.3">
      <c r="A17" s="3" t="s">
        <v>138</v>
      </c>
      <c r="B17" s="4" t="s">
        <v>139</v>
      </c>
      <c r="C17" s="4" t="s">
        <v>140</v>
      </c>
      <c r="D17" s="3" t="s">
        <v>141</v>
      </c>
      <c r="E17" s="3" t="s">
        <v>45</v>
      </c>
      <c r="F17" s="3" t="s">
        <v>136</v>
      </c>
      <c r="G17" s="3">
        <v>1</v>
      </c>
      <c r="H17" s="10" t="s">
        <v>10</v>
      </c>
      <c r="I17" s="4"/>
    </row>
    <row r="18" spans="1:9" ht="39.6" x14ac:dyDescent="0.3">
      <c r="A18" s="3" t="s">
        <v>142</v>
      </c>
      <c r="B18" s="4" t="s">
        <v>143</v>
      </c>
      <c r="C18" s="4" t="s">
        <v>144</v>
      </c>
      <c r="D18" s="3" t="s">
        <v>145</v>
      </c>
      <c r="E18" s="3" t="s">
        <v>66</v>
      </c>
      <c r="F18" s="3" t="s">
        <v>95</v>
      </c>
      <c r="G18" s="3">
        <v>3</v>
      </c>
      <c r="H18" s="11" t="s">
        <v>11</v>
      </c>
      <c r="I18" s="4" t="s">
        <v>146</v>
      </c>
    </row>
    <row r="19" spans="1:9" ht="39.6" x14ac:dyDescent="0.3">
      <c r="A19" s="3" t="s">
        <v>147</v>
      </c>
      <c r="B19" s="4" t="s">
        <v>148</v>
      </c>
      <c r="C19" s="4" t="s">
        <v>149</v>
      </c>
      <c r="D19" s="3" t="s">
        <v>150</v>
      </c>
      <c r="E19" s="3" t="s">
        <v>45</v>
      </c>
      <c r="F19" s="3" t="s">
        <v>145</v>
      </c>
      <c r="G19" s="3">
        <v>2</v>
      </c>
      <c r="H19" s="11" t="s">
        <v>11</v>
      </c>
      <c r="I19" s="4" t="s">
        <v>151</v>
      </c>
    </row>
  </sheetData>
  <mergeCells count="3">
    <mergeCell ref="A1:I1"/>
    <mergeCell ref="A2:I2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563EB"/>
  </sheetPr>
  <dimension ref="A1:I15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9" customWidth="1"/>
    <col min="2" max="2" width="46" customWidth="1"/>
    <col min="3" max="3" width="40" customWidth="1"/>
    <col min="4" max="5" width="9" customWidth="1"/>
    <col min="6" max="6" width="14" customWidth="1"/>
    <col min="7" max="7" width="7" customWidth="1"/>
    <col min="8" max="8" width="10" customWidth="1"/>
    <col min="9" max="9" width="42" customWidth="1"/>
  </cols>
  <sheetData>
    <row r="1" spans="1:9" ht="17.399999999999999" x14ac:dyDescent="0.3">
      <c r="A1" s="16" t="s">
        <v>152</v>
      </c>
      <c r="B1" s="13"/>
      <c r="C1" s="13"/>
      <c r="D1" s="13"/>
      <c r="E1" s="13"/>
      <c r="F1" s="13"/>
      <c r="G1" s="13"/>
      <c r="H1" s="13"/>
      <c r="I1" s="13"/>
    </row>
    <row r="2" spans="1:9" ht="30" customHeight="1" x14ac:dyDescent="0.3">
      <c r="A2" s="14" t="s">
        <v>153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4" t="s">
        <v>154</v>
      </c>
      <c r="B3" s="13"/>
      <c r="C3" s="13"/>
      <c r="D3" s="13"/>
      <c r="E3" s="13"/>
      <c r="F3" s="13"/>
      <c r="G3" s="13"/>
      <c r="H3" s="13"/>
      <c r="I3" s="13"/>
    </row>
    <row r="5" spans="1:9" ht="28.05" customHeight="1" x14ac:dyDescent="0.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</row>
    <row r="6" spans="1:9" ht="39.6" x14ac:dyDescent="0.3">
      <c r="A6" s="3" t="s">
        <v>155</v>
      </c>
      <c r="B6" s="4" t="s">
        <v>156</v>
      </c>
      <c r="C6" s="4" t="s">
        <v>157</v>
      </c>
      <c r="D6" s="3" t="s">
        <v>158</v>
      </c>
      <c r="E6" s="3" t="s">
        <v>45</v>
      </c>
      <c r="F6" s="3" t="s">
        <v>46</v>
      </c>
      <c r="G6" s="3">
        <v>1.5</v>
      </c>
      <c r="H6" s="10" t="s">
        <v>10</v>
      </c>
      <c r="I6" s="4"/>
    </row>
    <row r="7" spans="1:9" ht="52.8" x14ac:dyDescent="0.3">
      <c r="A7" s="3" t="s">
        <v>159</v>
      </c>
      <c r="B7" s="4" t="s">
        <v>160</v>
      </c>
      <c r="C7" s="4" t="s">
        <v>161</v>
      </c>
      <c r="D7" s="3" t="s">
        <v>162</v>
      </c>
      <c r="E7" s="3" t="s">
        <v>45</v>
      </c>
      <c r="F7" s="3" t="s">
        <v>158</v>
      </c>
      <c r="G7" s="3">
        <v>1.5</v>
      </c>
      <c r="H7" s="10" t="s">
        <v>10</v>
      </c>
      <c r="I7" s="4"/>
    </row>
    <row r="8" spans="1:9" ht="52.8" x14ac:dyDescent="0.3">
      <c r="A8" s="3" t="s">
        <v>163</v>
      </c>
      <c r="B8" s="4" t="s">
        <v>164</v>
      </c>
      <c r="C8" s="4" t="s">
        <v>165</v>
      </c>
      <c r="D8" s="3" t="s">
        <v>166</v>
      </c>
      <c r="E8" s="3" t="s">
        <v>45</v>
      </c>
      <c r="F8" s="3" t="s">
        <v>167</v>
      </c>
      <c r="G8" s="3">
        <v>2</v>
      </c>
      <c r="H8" s="10" t="s">
        <v>10</v>
      </c>
      <c r="I8" s="4" t="s">
        <v>168</v>
      </c>
    </row>
    <row r="9" spans="1:9" ht="39.6" x14ac:dyDescent="0.3">
      <c r="A9" s="3" t="s">
        <v>169</v>
      </c>
      <c r="B9" s="4" t="s">
        <v>170</v>
      </c>
      <c r="C9" s="4" t="s">
        <v>171</v>
      </c>
      <c r="D9" s="3" t="s">
        <v>172</v>
      </c>
      <c r="E9" s="3" t="s">
        <v>45</v>
      </c>
      <c r="F9" s="3" t="s">
        <v>162</v>
      </c>
      <c r="G9" s="3">
        <v>1</v>
      </c>
      <c r="H9" s="10" t="s">
        <v>10</v>
      </c>
      <c r="I9" s="4"/>
    </row>
    <row r="10" spans="1:9" ht="52.8" x14ac:dyDescent="0.3">
      <c r="A10" s="3" t="s">
        <v>173</v>
      </c>
      <c r="B10" s="4" t="s">
        <v>174</v>
      </c>
      <c r="C10" s="4" t="s">
        <v>175</v>
      </c>
      <c r="D10" s="3" t="s">
        <v>176</v>
      </c>
      <c r="E10" s="3" t="s">
        <v>45</v>
      </c>
      <c r="F10" s="3" t="s">
        <v>172</v>
      </c>
      <c r="G10" s="3">
        <v>2</v>
      </c>
      <c r="H10" s="10" t="s">
        <v>10</v>
      </c>
      <c r="I10" s="4"/>
    </row>
    <row r="11" spans="1:9" ht="39.6" x14ac:dyDescent="0.3">
      <c r="A11" s="3" t="s">
        <v>177</v>
      </c>
      <c r="B11" s="4" t="s">
        <v>178</v>
      </c>
      <c r="C11" s="4" t="s">
        <v>179</v>
      </c>
      <c r="D11" s="3" t="s">
        <v>180</v>
      </c>
      <c r="E11" s="3" t="s">
        <v>45</v>
      </c>
      <c r="F11" s="3" t="s">
        <v>46</v>
      </c>
      <c r="G11" s="3">
        <v>2</v>
      </c>
      <c r="H11" s="10" t="s">
        <v>10</v>
      </c>
      <c r="I11" s="4"/>
    </row>
    <row r="12" spans="1:9" ht="52.8" x14ac:dyDescent="0.3">
      <c r="A12" s="3" t="s">
        <v>181</v>
      </c>
      <c r="B12" s="4" t="s">
        <v>182</v>
      </c>
      <c r="C12" s="4" t="s">
        <v>183</v>
      </c>
      <c r="D12" s="3" t="s">
        <v>184</v>
      </c>
      <c r="E12" s="3" t="s">
        <v>66</v>
      </c>
      <c r="F12" s="3" t="s">
        <v>122</v>
      </c>
      <c r="G12" s="3">
        <v>1.5</v>
      </c>
      <c r="H12" s="10" t="s">
        <v>10</v>
      </c>
      <c r="I12" s="4"/>
    </row>
    <row r="13" spans="1:9" ht="39.6" x14ac:dyDescent="0.3">
      <c r="A13" s="3" t="s">
        <v>185</v>
      </c>
      <c r="B13" s="4" t="s">
        <v>186</v>
      </c>
      <c r="C13" s="4" t="s">
        <v>187</v>
      </c>
      <c r="D13" s="3" t="s">
        <v>188</v>
      </c>
      <c r="E13" s="3" t="s">
        <v>45</v>
      </c>
      <c r="F13" s="3" t="s">
        <v>184</v>
      </c>
      <c r="G13" s="3">
        <v>1</v>
      </c>
      <c r="H13" s="10" t="s">
        <v>10</v>
      </c>
      <c r="I13" s="4"/>
    </row>
    <row r="14" spans="1:9" ht="52.8" x14ac:dyDescent="0.3">
      <c r="A14" s="3" t="s">
        <v>189</v>
      </c>
      <c r="B14" s="4" t="s">
        <v>190</v>
      </c>
      <c r="C14" s="4" t="s">
        <v>191</v>
      </c>
      <c r="D14" s="3" t="s">
        <v>192</v>
      </c>
      <c r="E14" s="3" t="s">
        <v>45</v>
      </c>
      <c r="F14" s="3" t="s">
        <v>180</v>
      </c>
      <c r="G14" s="3">
        <v>1.5</v>
      </c>
      <c r="H14" s="10" t="s">
        <v>10</v>
      </c>
      <c r="I14" s="4"/>
    </row>
    <row r="15" spans="1:9" ht="52.8" x14ac:dyDescent="0.3">
      <c r="A15" s="3" t="s">
        <v>193</v>
      </c>
      <c r="B15" s="4" t="s">
        <v>194</v>
      </c>
      <c r="C15" s="4" t="s">
        <v>195</v>
      </c>
      <c r="D15" s="3" t="s">
        <v>196</v>
      </c>
      <c r="E15" s="3" t="s">
        <v>197</v>
      </c>
      <c r="F15" s="3" t="s">
        <v>46</v>
      </c>
      <c r="G15" s="3">
        <v>1</v>
      </c>
      <c r="H15" s="10" t="s">
        <v>10</v>
      </c>
      <c r="I15" s="4"/>
    </row>
  </sheetData>
  <mergeCells count="3">
    <mergeCell ref="A1:I1"/>
    <mergeCell ref="A2:I2"/>
    <mergeCell ref="A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B7280"/>
  </sheetPr>
  <dimension ref="A1:F12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2" width="44" customWidth="1"/>
    <col min="3" max="3" width="8" customWidth="1"/>
    <col min="4" max="4" width="10" customWidth="1"/>
    <col min="5" max="5" width="40" customWidth="1"/>
    <col min="6" max="6" width="26" customWidth="1"/>
  </cols>
  <sheetData>
    <row r="1" spans="1:6" ht="17.399999999999999" x14ac:dyDescent="0.3">
      <c r="A1" s="16" t="s">
        <v>198</v>
      </c>
      <c r="B1" s="13"/>
      <c r="C1" s="13"/>
      <c r="D1" s="13"/>
      <c r="E1" s="13"/>
      <c r="F1" s="13"/>
    </row>
    <row r="2" spans="1:6" ht="28.05" customHeight="1" x14ac:dyDescent="0.3">
      <c r="A2" s="14" t="s">
        <v>199</v>
      </c>
      <c r="B2" s="13"/>
      <c r="C2" s="13"/>
      <c r="D2" s="13"/>
      <c r="E2" s="13"/>
      <c r="F2" s="13"/>
    </row>
    <row r="4" spans="1:6" ht="24" customHeight="1" x14ac:dyDescent="0.3">
      <c r="A4" s="1" t="s">
        <v>200</v>
      </c>
      <c r="B4" s="1" t="s">
        <v>201</v>
      </c>
      <c r="C4" s="1" t="s">
        <v>36</v>
      </c>
      <c r="D4" s="1" t="s">
        <v>39</v>
      </c>
      <c r="E4" s="1" t="s">
        <v>40</v>
      </c>
      <c r="F4" s="1" t="s">
        <v>202</v>
      </c>
    </row>
    <row r="5" spans="1:6" ht="26.4" x14ac:dyDescent="0.3">
      <c r="A5" s="3" t="s">
        <v>203</v>
      </c>
      <c r="B5" s="4" t="s">
        <v>204</v>
      </c>
      <c r="C5" s="3" t="s">
        <v>82</v>
      </c>
      <c r="D5" s="8" t="s">
        <v>8</v>
      </c>
      <c r="E5" s="4" t="s">
        <v>56</v>
      </c>
      <c r="F5" s="3" t="s">
        <v>205</v>
      </c>
    </row>
    <row r="6" spans="1:6" ht="26.4" x14ac:dyDescent="0.3">
      <c r="A6" s="3" t="s">
        <v>206</v>
      </c>
      <c r="B6" s="4" t="s">
        <v>207</v>
      </c>
      <c r="C6" s="3" t="s">
        <v>82</v>
      </c>
      <c r="D6" s="8" t="s">
        <v>8</v>
      </c>
      <c r="E6" s="4" t="s">
        <v>56</v>
      </c>
      <c r="F6" s="3" t="s">
        <v>205</v>
      </c>
    </row>
    <row r="7" spans="1:6" ht="26.4" x14ac:dyDescent="0.3">
      <c r="A7" s="3" t="s">
        <v>55</v>
      </c>
      <c r="B7" s="4" t="s">
        <v>208</v>
      </c>
      <c r="C7" s="3" t="s">
        <v>82</v>
      </c>
      <c r="D7" s="8" t="s">
        <v>8</v>
      </c>
      <c r="E7" s="4" t="s">
        <v>209</v>
      </c>
      <c r="F7" s="3" t="s">
        <v>205</v>
      </c>
    </row>
    <row r="8" spans="1:6" x14ac:dyDescent="0.3">
      <c r="A8" s="3" t="s">
        <v>210</v>
      </c>
      <c r="B8" s="4" t="s">
        <v>211</v>
      </c>
      <c r="C8" s="3" t="s">
        <v>82</v>
      </c>
      <c r="D8" s="8" t="s">
        <v>8</v>
      </c>
      <c r="E8" s="4" t="s">
        <v>212</v>
      </c>
      <c r="F8" s="3" t="s">
        <v>205</v>
      </c>
    </row>
    <row r="9" spans="1:6" ht="26.4" x14ac:dyDescent="0.3">
      <c r="A9" s="3" t="s">
        <v>213</v>
      </c>
      <c r="B9" s="4" t="s">
        <v>214</v>
      </c>
      <c r="C9" s="3" t="s">
        <v>82</v>
      </c>
      <c r="D9" s="10" t="s">
        <v>10</v>
      </c>
      <c r="E9" s="4" t="s">
        <v>215</v>
      </c>
      <c r="F9" s="3" t="s">
        <v>216</v>
      </c>
    </row>
    <row r="10" spans="1:6" ht="26.4" x14ac:dyDescent="0.3">
      <c r="A10" s="3" t="s">
        <v>217</v>
      </c>
      <c r="B10" s="4" t="s">
        <v>218</v>
      </c>
      <c r="C10" s="3" t="s">
        <v>82</v>
      </c>
      <c r="D10" s="11" t="s">
        <v>11</v>
      </c>
      <c r="E10" s="4" t="s">
        <v>219</v>
      </c>
      <c r="F10" s="3" t="s">
        <v>220</v>
      </c>
    </row>
    <row r="11" spans="1:6" ht="26.4" x14ac:dyDescent="0.3">
      <c r="A11" s="3" t="s">
        <v>221</v>
      </c>
      <c r="B11" s="4" t="s">
        <v>222</v>
      </c>
      <c r="C11" s="3" t="s">
        <v>82</v>
      </c>
      <c r="D11" s="10" t="s">
        <v>10</v>
      </c>
      <c r="E11" s="4" t="s">
        <v>223</v>
      </c>
      <c r="F11" s="3" t="s">
        <v>224</v>
      </c>
    </row>
    <row r="12" spans="1:6" ht="26.4" x14ac:dyDescent="0.3">
      <c r="A12" s="3" t="s">
        <v>225</v>
      </c>
      <c r="B12" s="4" t="s">
        <v>226</v>
      </c>
      <c r="C12" s="3" t="s">
        <v>82</v>
      </c>
      <c r="D12" s="11" t="s">
        <v>11</v>
      </c>
      <c r="E12" s="4" t="s">
        <v>227</v>
      </c>
      <c r="F12" s="3" t="s">
        <v>228</v>
      </c>
    </row>
  </sheetData>
  <mergeCells count="2">
    <mergeCell ref="A1:F1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Epic 1 - Master Data</vt:lpstr>
      <vt:lpstr>Epic 2 - Ingest Ticketing</vt:lpstr>
      <vt:lpstr>Epic 3 - Scheduling</vt:lpstr>
      <vt:lpstr>Gates &amp; Prasyarat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Sayyid Thariq Gilang Mutaqien</cp:lastModifiedBy>
  <dcterms:created xsi:type="dcterms:W3CDTF">2026-07-30T02:06:48Z</dcterms:created>
  <dcterms:modified xsi:type="dcterms:W3CDTF">2026-07-30T02:08:26Z</dcterms:modified>
</cp:coreProperties>
</file>